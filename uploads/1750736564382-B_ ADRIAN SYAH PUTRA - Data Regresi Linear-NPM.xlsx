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annn\Downloads\"/>
    </mc:Choice>
  </mc:AlternateContent>
  <xr:revisionPtr revIDLastSave="0" documentId="13_ncr:1_{4717B2E3-FEE6-4536-BBDF-BE1647F91040}" xr6:coauthVersionLast="47" xr6:coauthVersionMax="47" xr10:uidLastSave="{00000000-0000-0000-0000-000000000000}"/>
  <bookViews>
    <workbookView xWindow="-120" yWindow="-120" windowWidth="29040" windowHeight="15720" xr2:uid="{A66DB07E-FE2D-4700-B796-756354D15FFD}"/>
  </bookViews>
  <sheets>
    <sheet name="NPM 5" sheetId="6" r:id="rId1"/>
    <sheet name="NPM 6" sheetId="7" r:id="rId2"/>
    <sheet name="NPM 7" sheetId="10" r:id="rId3"/>
    <sheet name="NPM 8" sheetId="8" r:id="rId4"/>
    <sheet name="NPM 9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6" l="1"/>
  <c r="D32" i="6"/>
  <c r="D23" i="6"/>
  <c r="D24" i="6"/>
  <c r="D25" i="6"/>
  <c r="D26" i="6"/>
  <c r="D27" i="6"/>
  <c r="D28" i="6"/>
  <c r="D29" i="6"/>
  <c r="D30" i="6"/>
  <c r="D31" i="6"/>
  <c r="D22" i="6"/>
  <c r="B23" i="6"/>
  <c r="B24" i="6"/>
  <c r="B25" i="6"/>
  <c r="B26" i="6"/>
  <c r="B27" i="6"/>
  <c r="B28" i="6"/>
  <c r="B29" i="6"/>
  <c r="B30" i="6"/>
  <c r="B31" i="6"/>
  <c r="B22" i="6"/>
  <c r="G18" i="6"/>
  <c r="G19" i="6"/>
  <c r="F7" i="6"/>
  <c r="F16" i="6" s="1"/>
  <c r="F8" i="6"/>
  <c r="F9" i="6"/>
  <c r="F10" i="6"/>
  <c r="F11" i="6"/>
  <c r="F12" i="6"/>
  <c r="F13" i="6"/>
  <c r="F14" i="6"/>
  <c r="F15" i="6"/>
  <c r="F6" i="6"/>
  <c r="E7" i="6"/>
  <c r="E16" i="6" s="1"/>
  <c r="E8" i="6"/>
  <c r="E9" i="6"/>
  <c r="E10" i="6"/>
  <c r="E11" i="6"/>
  <c r="E12" i="6"/>
  <c r="E13" i="6"/>
  <c r="E14" i="6"/>
  <c r="E15" i="6"/>
  <c r="E6" i="6"/>
  <c r="D7" i="6"/>
  <c r="D8" i="6"/>
  <c r="D9" i="6"/>
  <c r="D10" i="6"/>
  <c r="D11" i="6"/>
  <c r="D12" i="6"/>
  <c r="D13" i="6"/>
  <c r="D14" i="6"/>
  <c r="D15" i="6"/>
  <c r="D6" i="6"/>
  <c r="C7" i="6"/>
  <c r="C8" i="6"/>
  <c r="C9" i="6"/>
  <c r="C10" i="6"/>
  <c r="C11" i="6"/>
  <c r="C12" i="6"/>
  <c r="C13" i="6"/>
  <c r="C14" i="6"/>
  <c r="C15" i="6"/>
  <c r="C6" i="6"/>
  <c r="B16" i="6"/>
  <c r="A16" i="6"/>
  <c r="F16" i="9"/>
  <c r="E16" i="9"/>
  <c r="F16" i="8"/>
  <c r="E16" i="8"/>
  <c r="F16" i="10"/>
  <c r="E16" i="10"/>
  <c r="F16" i="7"/>
  <c r="E16" i="7"/>
</calcChain>
</file>

<file path=xl/sharedStrings.xml><?xml version="1.0" encoding="utf-8"?>
<sst xmlns="http://schemas.openxmlformats.org/spreadsheetml/2006/main" count="87" uniqueCount="40">
  <si>
    <t>X</t>
  </si>
  <si>
    <t>Y</t>
  </si>
  <si>
    <t>Multiplication</t>
  </si>
  <si>
    <t>Squared X</t>
  </si>
  <si>
    <t>b</t>
  </si>
  <si>
    <t>Prediksi</t>
  </si>
  <si>
    <t>Ypred</t>
  </si>
  <si>
    <t>MSE</t>
  </si>
  <si>
    <t>X- Rata-rata x</t>
  </si>
  <si>
    <t>Y-rata-rata Y</t>
  </si>
  <si>
    <t>a</t>
  </si>
  <si>
    <t>y=a+bx</t>
  </si>
  <si>
    <t>a=y-bx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</si>
  <si>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</si>
  <si>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</si>
  <si>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</si>
  <si>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</si>
  <si>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</si>
  <si>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</si>
  <si>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</si>
  <si>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</si>
  <si>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</si>
  <si>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</si>
  <si>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</si>
  <si>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</si>
  <si>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</si>
  <si>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</si>
  <si>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</si>
  <si>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</si>
  <si>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</si>
  <si>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</si>
  <si>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</si>
  <si>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</si>
  <si>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</si>
  <si>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</si>
  <si>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</si>
  <si>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</si>
  <si>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X Variable 1</t>
  </si>
  <si>
    <t>ADRIAN SYAH PUTRA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</si>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</sst>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0" fontId="0" fillId="0" borderId="5" xfId="0" applyBorder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  <xf numFmtId="0" fontId="3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3" borderId="5" xfId="0" applyFill="1" applyBorder="1" applyAlignment="1">
      <alignment horizont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A2C69-177D-4CF0-A52C-CC28A1D402D3}">
  <dimension ref="A1:R32"/>
  <sheetViews>
    <sheetView tabSelected="1" topLeftCell="A2" zoomScale="111" zoomScaleNormal="145" workbookViewId="0">
      <selection activeCell="J5" sqref="J5"/>
    </sheetView>
  </sheetViews>
  <sheetFormatPr defaultRowHeight="15" x14ac:dyDescent="0.25"/>
  <cols>
    <col min="2" max="2" width="10.7109375" bestFit="1" customWidth="1"/>
    <col min="3" max="3" width="14.42578125" customWidth="1"/>
    <col min="4" max="4" width="13" customWidth="1"/>
    <col min="5" max="5" width="15.42578125" customWidth="1"/>
    <col min="6" max="6" width="13.42578125" customWidth="1"/>
    <col min="11" max="11" width="12" customWidth="1"/>
    <col min="12" max="12" width="17" customWidth="1"/>
    <col min="13" max="13" width="11" customWidth="1"/>
    <col min="14" max="14" width="11.7109375" customWidth="1"/>
    <col min="15" max="15" width="11.42578125" customWidth="1"/>
    <col min="16" max="16" width="11" customWidth="1"/>
    <col min="17" max="17" width="12.42578125" customWidth="1"/>
    <col min="18" max="18" width="12.140625" customWidth="1"/>
  </cols>
  <sheetData>
    <row r="1" spans="1:15" x14ac:dyDescent="0.25">
      <c r="B1" s="16" t="s">
        <v>38</v>
      </c>
      <c r="C1" s="16"/>
    </row>
    <row r="2" spans="1:15" x14ac:dyDescent="0.25">
      <c r="B2" s="16">
        <v>227006048</v>
      </c>
      <c r="C2" s="16"/>
    </row>
    <row r="3" spans="1:15" x14ac:dyDescent="0.25">
      <c r="B3" s="16" t="s">
        <v>39</v>
      </c>
      <c r="C3" s="16"/>
    </row>
    <row r="5" spans="1:15" x14ac:dyDescent="0.25">
      <c r="A5" s="10" t="s">
        <v>0</v>
      </c>
      <c r="B5" s="10" t="s">
        <v>1</v>
      </c>
      <c r="C5" s="10" t="s">
        <v>8</v>
      </c>
      <c r="D5" s="10" t="s">
        <v>9</v>
      </c>
      <c r="E5" s="10" t="s">
        <v>2</v>
      </c>
      <c r="F5" s="10" t="s">
        <v>3</v>
      </c>
      <c r="J5" t="s">
        <v>13</v>
      </c>
    </row>
    <row r="6" spans="1:15" ht="15.75" thickBot="1" x14ac:dyDescent="0.3">
      <c r="A6" s="11">
        <v>6</v>
      </c>
      <c r="B6" s="11">
        <v>42</v>
      </c>
      <c r="C6" s="12">
        <f>(A6-A$16)</f>
        <v>-4.5999999999999996</v>
      </c>
      <c r="D6" s="12">
        <f>(B6-B$16)</f>
        <v>-8.6000000000000014</v>
      </c>
      <c r="E6" s="12">
        <f>(C6*D6)</f>
        <v>39.56</v>
      </c>
      <c r="F6" s="12">
        <f>C6^2</f>
        <v>21.159999999999997</v>
      </c>
    </row>
    <row r="7" spans="1:15" x14ac:dyDescent="0.25">
      <c r="A7" s="11">
        <v>7</v>
      </c>
      <c r="B7" s="11">
        <v>43</v>
      </c>
      <c r="C7" s="12">
        <f t="shared" ref="C7:C15" si="0">(A7-A$16)</f>
        <v>-3.5999999999999996</v>
      </c>
      <c r="D7" s="12">
        <f t="shared" ref="D7:D15" si="1">(B7-B$16)</f>
        <v>-7.6000000000000014</v>
      </c>
      <c r="E7" s="12">
        <f t="shared" ref="E7:E15" si="2">(C7*D7)</f>
        <v>27.360000000000003</v>
      </c>
      <c r="F7" s="12">
        <f t="shared" ref="F7:F15" si="3">C7^2</f>
        <v>12.959999999999997</v>
      </c>
      <c r="J7" s="9" t="s">
        <v>14</v>
      </c>
      <c r="K7" s="9"/>
    </row>
    <row r="8" spans="1:15" x14ac:dyDescent="0.25">
      <c r="A8" s="11">
        <v>7</v>
      </c>
      <c r="B8" s="11">
        <v>44</v>
      </c>
      <c r="C8" s="12">
        <f t="shared" si="0"/>
        <v>-3.5999999999999996</v>
      </c>
      <c r="D8" s="12">
        <f t="shared" si="1"/>
        <v>-6.6000000000000014</v>
      </c>
      <c r="E8" s="12">
        <f t="shared" si="2"/>
        <v>23.76</v>
      </c>
      <c r="F8" s="12">
        <f t="shared" si="3"/>
        <v>12.959999999999997</v>
      </c>
      <c r="J8" s="6" t="s">
        <v>15</v>
      </c>
      <c r="K8" s="6">
        <v>0.95677053958247837</v>
      </c>
    </row>
    <row r="9" spans="1:15" x14ac:dyDescent="0.25">
      <c r="A9" s="11">
        <v>6</v>
      </c>
      <c r="B9" s="11">
        <v>48</v>
      </c>
      <c r="C9" s="12">
        <f t="shared" si="0"/>
        <v>-4.5999999999999996</v>
      </c>
      <c r="D9" s="12">
        <f t="shared" si="1"/>
        <v>-2.6000000000000014</v>
      </c>
      <c r="E9" s="12">
        <f t="shared" si="2"/>
        <v>11.960000000000006</v>
      </c>
      <c r="F9" s="12">
        <f t="shared" si="3"/>
        <v>21.159999999999997</v>
      </c>
      <c r="J9" s="6" t="s">
        <v>16</v>
      </c>
      <c r="K9" s="6">
        <v>0.91540986541294689</v>
      </c>
    </row>
    <row r="10" spans="1:15" x14ac:dyDescent="0.25">
      <c r="A10" s="11">
        <v>10</v>
      </c>
      <c r="B10" s="11">
        <v>50</v>
      </c>
      <c r="C10" s="12">
        <f t="shared" si="0"/>
        <v>-0.59999999999999964</v>
      </c>
      <c r="D10" s="12">
        <f t="shared" si="1"/>
        <v>-0.60000000000000142</v>
      </c>
      <c r="E10" s="12">
        <f t="shared" si="2"/>
        <v>0.36000000000000065</v>
      </c>
      <c r="F10" s="12">
        <f t="shared" si="3"/>
        <v>0.3599999999999996</v>
      </c>
      <c r="J10" s="6" t="s">
        <v>17</v>
      </c>
      <c r="K10" s="6">
        <v>0.90483609858956515</v>
      </c>
    </row>
    <row r="11" spans="1:15" x14ac:dyDescent="0.25">
      <c r="A11" s="11">
        <v>11</v>
      </c>
      <c r="B11" s="11">
        <v>51</v>
      </c>
      <c r="C11" s="12">
        <f t="shared" si="0"/>
        <v>0.40000000000000036</v>
      </c>
      <c r="D11" s="12">
        <f t="shared" si="1"/>
        <v>0.39999999999999858</v>
      </c>
      <c r="E11" s="12">
        <f t="shared" si="2"/>
        <v>0.15999999999999959</v>
      </c>
      <c r="F11" s="12">
        <f t="shared" si="3"/>
        <v>0.16000000000000028</v>
      </c>
      <c r="J11" s="6" t="s">
        <v>18</v>
      </c>
      <c r="K11" s="6">
        <v>1.9843565115742987</v>
      </c>
    </row>
    <row r="12" spans="1:15" ht="15.75" thickBot="1" x14ac:dyDescent="0.3">
      <c r="A12" s="11">
        <v>13</v>
      </c>
      <c r="B12" s="11">
        <v>53</v>
      </c>
      <c r="C12" s="12">
        <f t="shared" si="0"/>
        <v>2.4000000000000004</v>
      </c>
      <c r="D12" s="12">
        <f t="shared" si="1"/>
        <v>2.3999999999999986</v>
      </c>
      <c r="E12" s="12">
        <f t="shared" si="2"/>
        <v>5.7599999999999971</v>
      </c>
      <c r="F12" s="12">
        <f t="shared" si="3"/>
        <v>5.7600000000000016</v>
      </c>
      <c r="J12" s="7" t="s">
        <v>19</v>
      </c>
      <c r="K12" s="7">
        <v>10</v>
      </c>
    </row>
    <row r="13" spans="1:15" x14ac:dyDescent="0.25">
      <c r="A13" s="11">
        <v>14</v>
      </c>
      <c r="B13" s="11">
        <v>57</v>
      </c>
      <c r="C13" s="12">
        <f t="shared" si="0"/>
        <v>3.4000000000000004</v>
      </c>
      <c r="D13" s="12">
        <f t="shared" si="1"/>
        <v>6.3999999999999986</v>
      </c>
      <c r="E13" s="12">
        <f t="shared" si="2"/>
        <v>21.759999999999998</v>
      </c>
      <c r="F13" s="12">
        <f t="shared" si="3"/>
        <v>11.560000000000002</v>
      </c>
    </row>
    <row r="14" spans="1:15" ht="15.75" thickBot="1" x14ac:dyDescent="0.3">
      <c r="A14" s="11">
        <v>15</v>
      </c>
      <c r="B14" s="11">
        <v>58</v>
      </c>
      <c r="C14" s="12">
        <f t="shared" si="0"/>
        <v>4.4000000000000004</v>
      </c>
      <c r="D14" s="12">
        <f t="shared" si="1"/>
        <v>7.3999999999999986</v>
      </c>
      <c r="E14" s="12">
        <f t="shared" si="2"/>
        <v>32.559999999999995</v>
      </c>
      <c r="F14" s="12">
        <f t="shared" si="3"/>
        <v>19.360000000000003</v>
      </c>
      <c r="J14" t="s">
        <v>20</v>
      </c>
    </row>
    <row r="15" spans="1:15" x14ac:dyDescent="0.25">
      <c r="A15" s="11">
        <v>17</v>
      </c>
      <c r="B15" s="12">
        <v>60</v>
      </c>
      <c r="C15" s="12">
        <f t="shared" si="0"/>
        <v>6.4</v>
      </c>
      <c r="D15" s="12">
        <f t="shared" si="1"/>
        <v>9.3999999999999986</v>
      </c>
      <c r="E15" s="12">
        <f t="shared" si="2"/>
        <v>60.16</v>
      </c>
      <c r="F15" s="12">
        <f t="shared" si="3"/>
        <v>40.960000000000008</v>
      </c>
      <c r="J15" s="8"/>
      <c r="K15" s="8" t="s">
        <v>25</v>
      </c>
      <c r="L15" s="8" t="s">
        <v>26</v>
      </c>
      <c r="M15" s="8" t="s">
        <v>27</v>
      </c>
      <c r="N15" s="8" t="s">
        <v>28</v>
      </c>
      <c r="O15" s="8" t="s">
        <v>29</v>
      </c>
    </row>
    <row r="16" spans="1:15" x14ac:dyDescent="0.25">
      <c r="A16" s="15">
        <f>AVERAGE(A6:A15)</f>
        <v>10.6</v>
      </c>
      <c r="B16" s="15">
        <f>AVERAGE(B6:B15)</f>
        <v>50.6</v>
      </c>
      <c r="C16" s="15"/>
      <c r="D16" s="15"/>
      <c r="E16" s="15">
        <f>SUM(E6:E15)</f>
        <v>223.4</v>
      </c>
      <c r="F16" s="15">
        <f>SUM(F6:F15)</f>
        <v>146.39999999999998</v>
      </c>
      <c r="J16" s="6" t="s">
        <v>21</v>
      </c>
      <c r="K16" s="6">
        <v>1</v>
      </c>
      <c r="L16" s="6">
        <v>340.89863387978141</v>
      </c>
      <c r="M16" s="6">
        <v>340.89863387978141</v>
      </c>
      <c r="N16" s="6">
        <v>86.573676221865711</v>
      </c>
      <c r="O16" s="6">
        <v>1.4500664566728079E-5</v>
      </c>
    </row>
    <row r="17" spans="1:18" x14ac:dyDescent="0.25">
      <c r="J17" s="6" t="s">
        <v>22</v>
      </c>
      <c r="K17" s="6">
        <v>8</v>
      </c>
      <c r="L17" s="6">
        <v>31.501366120218556</v>
      </c>
      <c r="M17" s="6">
        <v>3.9376707650273195</v>
      </c>
      <c r="N17" s="6"/>
      <c r="O17" s="6"/>
    </row>
    <row r="18" spans="1:18" ht="15.75" thickBot="1" x14ac:dyDescent="0.3">
      <c r="F18" s="12" t="s">
        <v>10</v>
      </c>
      <c r="G18" s="12">
        <f>B16-G19*A16</f>
        <v>34.424863387978142</v>
      </c>
      <c r="H18" s="14" t="s">
        <v>11</v>
      </c>
      <c r="I18" s="14" t="s">
        <v>12</v>
      </c>
      <c r="J18" s="7" t="s">
        <v>23</v>
      </c>
      <c r="K18" s="7">
        <v>9</v>
      </c>
      <c r="L18" s="7">
        <v>372.4</v>
      </c>
      <c r="M18" s="7"/>
      <c r="N18" s="7"/>
      <c r="O18" s="7"/>
    </row>
    <row r="19" spans="1:18" ht="15.75" thickBot="1" x14ac:dyDescent="0.3">
      <c r="F19" s="12" t="s">
        <v>4</v>
      </c>
      <c r="G19" s="12">
        <f>E16/F16</f>
        <v>1.5259562841530057</v>
      </c>
      <c r="H19" s="14"/>
      <c r="I19" s="14"/>
    </row>
    <row r="20" spans="1:18" x14ac:dyDescent="0.25">
      <c r="A20" t="s">
        <v>5</v>
      </c>
      <c r="J20" s="8"/>
      <c r="K20" s="8" t="s">
        <v>30</v>
      </c>
      <c r="L20" s="8" t="s">
        <v>18</v>
      </c>
      <c r="M20" s="8" t="s">
        <v>31</v>
      </c>
      <c r="N20" s="8" t="s">
        <v>32</v>
      </c>
      <c r="O20" s="8" t="s">
        <v>33</v>
      </c>
      <c r="P20" s="8" t="s">
        <v>34</v>
      </c>
      <c r="Q20" s="8" t="s">
        <v>35</v>
      </c>
      <c r="R20" s="8" t="s">
        <v>36</v>
      </c>
    </row>
    <row r="21" spans="1:18" x14ac:dyDescent="0.25">
      <c r="A21" t="s">
        <v>0</v>
      </c>
      <c r="B21" s="10" t="s">
        <v>6</v>
      </c>
      <c r="C21" s="10" t="s">
        <v>1</v>
      </c>
      <c r="D21" s="10" t="s">
        <v>7</v>
      </c>
      <c r="J21" s="6" t="s">
        <v>24</v>
      </c>
      <c r="K21" s="6">
        <v>34.424863387978149</v>
      </c>
      <c r="L21" s="6">
        <v>1.8482087531836702</v>
      </c>
      <c r="M21" s="6">
        <v>18.626068796979176</v>
      </c>
      <c r="N21" s="6">
        <v>7.1219445121905349E-8</v>
      </c>
      <c r="O21" s="6">
        <v>30.162886360416067</v>
      </c>
      <c r="P21" s="6">
        <v>38.686840415540232</v>
      </c>
      <c r="Q21" s="6">
        <v>30.162886360416067</v>
      </c>
      <c r="R21" s="6">
        <v>38.686840415540232</v>
      </c>
    </row>
    <row r="22" spans="1:18" ht="15.75" thickBot="1" x14ac:dyDescent="0.3">
      <c r="A22">
        <v>7</v>
      </c>
      <c r="B22" s="12">
        <f>G$18+G$19*A22</f>
        <v>45.106557377049185</v>
      </c>
      <c r="C22" s="11">
        <v>42</v>
      </c>
      <c r="D22" s="12">
        <f>(C22-B22)^2/10</f>
        <v>0.96506987368987129</v>
      </c>
      <c r="J22" s="7" t="s">
        <v>37</v>
      </c>
      <c r="K22" s="7">
        <v>1.5259562841530054</v>
      </c>
      <c r="L22" s="7">
        <v>0.16400200678973695</v>
      </c>
      <c r="M22" s="7">
        <v>9.3044976340405245</v>
      </c>
      <c r="N22" s="7">
        <v>1.4500664566728079E-5</v>
      </c>
      <c r="O22" s="7">
        <v>1.14776697831409</v>
      </c>
      <c r="P22" s="7">
        <v>1.9041455899919209</v>
      </c>
      <c r="Q22" s="7">
        <v>1.14776697831409</v>
      </c>
      <c r="R22" s="7">
        <v>1.9041455899919209</v>
      </c>
    </row>
    <row r="23" spans="1:18" x14ac:dyDescent="0.25">
      <c r="A23">
        <v>9</v>
      </c>
      <c r="B23" s="12">
        <f t="shared" ref="B23:B31" si="4">G$18+G$19*A23</f>
        <v>48.158469945355193</v>
      </c>
      <c r="C23" s="11">
        <v>43</v>
      </c>
      <c r="D23" s="12">
        <f t="shared" ref="D23:D31" si="5">(C23-B23)^2/10</f>
        <v>2.6609812177132812</v>
      </c>
    </row>
    <row r="24" spans="1:18" x14ac:dyDescent="0.25">
      <c r="A24">
        <v>11</v>
      </c>
      <c r="B24" s="12">
        <f t="shared" si="4"/>
        <v>51.210382513661202</v>
      </c>
      <c r="C24" s="11">
        <v>44</v>
      </c>
      <c r="D24" s="12">
        <f t="shared" si="5"/>
        <v>5.1989615993311222</v>
      </c>
    </row>
    <row r="25" spans="1:18" x14ac:dyDescent="0.25">
      <c r="A25">
        <v>12</v>
      </c>
      <c r="B25" s="12">
        <f t="shared" si="4"/>
        <v>52.736338797814213</v>
      </c>
      <c r="C25" s="11">
        <v>48</v>
      </c>
      <c r="D25" s="12">
        <f t="shared" si="5"/>
        <v>2.243290520768018</v>
      </c>
    </row>
    <row r="26" spans="1:18" x14ac:dyDescent="0.25">
      <c r="A26">
        <v>11</v>
      </c>
      <c r="B26" s="12">
        <f t="shared" si="4"/>
        <v>51.210382513661202</v>
      </c>
      <c r="C26" s="11">
        <v>50</v>
      </c>
      <c r="D26" s="12">
        <f t="shared" si="5"/>
        <v>0.1465025829376809</v>
      </c>
    </row>
    <row r="27" spans="1:18" x14ac:dyDescent="0.25">
      <c r="A27">
        <v>12</v>
      </c>
      <c r="B27" s="12">
        <f t="shared" si="4"/>
        <v>52.736338797814213</v>
      </c>
      <c r="C27" s="11">
        <v>51</v>
      </c>
      <c r="D27" s="12">
        <f t="shared" si="5"/>
        <v>0.30148724207949062</v>
      </c>
    </row>
    <row r="28" spans="1:18" x14ac:dyDescent="0.25">
      <c r="A28">
        <v>13</v>
      </c>
      <c r="B28" s="12">
        <f t="shared" si="4"/>
        <v>54.262295081967217</v>
      </c>
      <c r="C28" s="11">
        <v>53</v>
      </c>
      <c r="D28" s="12">
        <f t="shared" si="5"/>
        <v>0.1593388873958623</v>
      </c>
    </row>
    <row r="29" spans="1:18" x14ac:dyDescent="0.25">
      <c r="A29">
        <v>13</v>
      </c>
      <c r="B29" s="12">
        <f t="shared" si="4"/>
        <v>54.262295081967217</v>
      </c>
      <c r="C29" s="11">
        <v>57</v>
      </c>
      <c r="D29" s="12">
        <f t="shared" si="5"/>
        <v>0.74950282182208872</v>
      </c>
    </row>
    <row r="30" spans="1:18" x14ac:dyDescent="0.25">
      <c r="A30">
        <v>14</v>
      </c>
      <c r="B30" s="12">
        <f t="shared" si="4"/>
        <v>55.788251366120221</v>
      </c>
      <c r="C30" s="11">
        <v>58</v>
      </c>
      <c r="D30" s="12">
        <f t="shared" si="5"/>
        <v>0.48918320194690679</v>
      </c>
    </row>
    <row r="31" spans="1:18" x14ac:dyDescent="0.25">
      <c r="A31">
        <v>15</v>
      </c>
      <c r="B31" s="12">
        <f t="shared" si="4"/>
        <v>57.314207650273232</v>
      </c>
      <c r="C31" s="12">
        <v>60</v>
      </c>
      <c r="D31" s="13">
        <f t="shared" si="5"/>
        <v>0.72134805458508322</v>
      </c>
    </row>
    <row r="32" spans="1:18" x14ac:dyDescent="0.25">
      <c r="B32" s="14"/>
      <c r="C32" s="14"/>
      <c r="D32" s="12">
        <f>AVERAGE(D22:D31)</f>
        <v>1.3635666002269404</v>
      </c>
      <c r="E32" s="5">
        <f>(100-D32)</f>
        <v>98.636433399773054</v>
      </c>
    </row>
  </sheetData>
  <mergeCells count="3">
    <mergeCell ref="B1:C1"/>
    <mergeCell ref="B2:C2"/>
    <mergeCell ref="B3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4F557-BAB0-43C1-B281-DB3A316CA34E}">
  <dimension ref="A5:F31"/>
  <sheetViews>
    <sheetView topLeftCell="A2" workbookViewId="0">
      <selection activeCell="M12" sqref="A1:XFD1048576"/>
    </sheetView>
  </sheetViews>
  <sheetFormatPr defaultRowHeight="15" x14ac:dyDescent="0.25"/>
  <sheetData>
    <row r="5" spans="1:6" ht="15.75" thickBot="1" x14ac:dyDescent="0.3">
      <c r="A5" t="s">
        <v>0</v>
      </c>
      <c r="B5" t="s">
        <v>1</v>
      </c>
      <c r="C5" t="s">
        <v>8</v>
      </c>
      <c r="D5" t="s">
        <v>9</v>
      </c>
      <c r="E5" t="s">
        <v>2</v>
      </c>
      <c r="F5" t="s">
        <v>3</v>
      </c>
    </row>
    <row r="6" spans="1:6" ht="15.75" thickBot="1" x14ac:dyDescent="0.3">
      <c r="A6" s="1">
        <v>5</v>
      </c>
      <c r="B6" s="1">
        <v>42</v>
      </c>
    </row>
    <row r="7" spans="1:6" ht="15.75" thickBot="1" x14ac:dyDescent="0.3">
      <c r="A7" s="2">
        <v>7</v>
      </c>
      <c r="B7" s="2">
        <v>43</v>
      </c>
    </row>
    <row r="8" spans="1:6" ht="15.75" thickBot="1" x14ac:dyDescent="0.3">
      <c r="A8" s="2">
        <v>7</v>
      </c>
      <c r="B8" s="2">
        <v>44</v>
      </c>
    </row>
    <row r="9" spans="1:6" ht="15.75" thickBot="1" x14ac:dyDescent="0.3">
      <c r="A9" s="2">
        <v>6</v>
      </c>
      <c r="B9" s="2">
        <v>48</v>
      </c>
    </row>
    <row r="10" spans="1:6" ht="15.75" thickBot="1" x14ac:dyDescent="0.3">
      <c r="A10" s="2">
        <v>10</v>
      </c>
      <c r="B10" s="2">
        <v>50</v>
      </c>
    </row>
    <row r="11" spans="1:6" ht="15.75" thickBot="1" x14ac:dyDescent="0.3">
      <c r="A11" s="2">
        <v>11</v>
      </c>
      <c r="B11" s="2">
        <v>51</v>
      </c>
    </row>
    <row r="12" spans="1:6" ht="15.75" thickBot="1" x14ac:dyDescent="0.3">
      <c r="A12" s="2">
        <v>13</v>
      </c>
      <c r="B12" s="2">
        <v>53</v>
      </c>
    </row>
    <row r="13" spans="1:6" ht="15.75" thickBot="1" x14ac:dyDescent="0.3">
      <c r="A13" s="2">
        <v>14</v>
      </c>
      <c r="B13" s="2">
        <v>57</v>
      </c>
    </row>
    <row r="14" spans="1:6" ht="15.75" thickBot="1" x14ac:dyDescent="0.3">
      <c r="A14" s="2">
        <v>15</v>
      </c>
      <c r="B14" s="2">
        <v>58</v>
      </c>
    </row>
    <row r="15" spans="1:6" ht="15.75" thickBot="1" x14ac:dyDescent="0.3">
      <c r="A15" s="2">
        <v>16</v>
      </c>
      <c r="B15">
        <v>59</v>
      </c>
    </row>
    <row r="16" spans="1:6" x14ac:dyDescent="0.25">
      <c r="E16">
        <f>SUM(E6:E15)</f>
        <v>0</v>
      </c>
      <c r="F16">
        <f>SUM(F6:F15)</f>
        <v>0</v>
      </c>
    </row>
    <row r="20" spans="1:4" x14ac:dyDescent="0.25">
      <c r="A20" t="s">
        <v>5</v>
      </c>
    </row>
    <row r="21" spans="1:4" x14ac:dyDescent="0.25">
      <c r="A21" t="s">
        <v>0</v>
      </c>
      <c r="B21" t="s">
        <v>6</v>
      </c>
      <c r="C21" t="s">
        <v>1</v>
      </c>
      <c r="D21" t="s">
        <v>7</v>
      </c>
    </row>
    <row r="22" spans="1:4" x14ac:dyDescent="0.25">
      <c r="A22">
        <v>7</v>
      </c>
    </row>
    <row r="23" spans="1:4" x14ac:dyDescent="0.25">
      <c r="A23">
        <v>9</v>
      </c>
    </row>
    <row r="24" spans="1:4" x14ac:dyDescent="0.25">
      <c r="A24">
        <v>11</v>
      </c>
    </row>
    <row r="25" spans="1:4" x14ac:dyDescent="0.25">
      <c r="A25">
        <v>12</v>
      </c>
    </row>
    <row r="26" spans="1:4" x14ac:dyDescent="0.25">
      <c r="A26">
        <v>11</v>
      </c>
    </row>
    <row r="27" spans="1:4" x14ac:dyDescent="0.25">
      <c r="A27">
        <v>12</v>
      </c>
    </row>
    <row r="28" spans="1:4" x14ac:dyDescent="0.25">
      <c r="A28">
        <v>13</v>
      </c>
    </row>
    <row r="29" spans="1:4" x14ac:dyDescent="0.25">
      <c r="A29">
        <v>13</v>
      </c>
    </row>
    <row r="30" spans="1:4" x14ac:dyDescent="0.25">
      <c r="A30">
        <v>14</v>
      </c>
    </row>
    <row r="31" spans="1:4" x14ac:dyDescent="0.25">
      <c r="A31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056A8-3C4A-4BB4-B578-22551AECCCCD}">
  <dimension ref="A5:F31"/>
  <sheetViews>
    <sheetView workbookViewId="0">
      <selection activeCell="K13" sqref="A1:XFD1048576"/>
    </sheetView>
  </sheetViews>
  <sheetFormatPr defaultRowHeight="15" x14ac:dyDescent="0.25"/>
  <sheetData>
    <row r="5" spans="1:6" ht="15.75" thickBot="1" x14ac:dyDescent="0.3">
      <c r="A5" t="s">
        <v>0</v>
      </c>
      <c r="B5" t="s">
        <v>1</v>
      </c>
      <c r="C5" t="s">
        <v>8</v>
      </c>
      <c r="D5" t="s">
        <v>9</v>
      </c>
      <c r="E5" t="s">
        <v>2</v>
      </c>
      <c r="F5" t="s">
        <v>3</v>
      </c>
    </row>
    <row r="6" spans="1:6" ht="15.75" thickBot="1" x14ac:dyDescent="0.3">
      <c r="A6" s="1">
        <v>6</v>
      </c>
      <c r="B6" s="1">
        <v>42</v>
      </c>
    </row>
    <row r="7" spans="1:6" ht="15.75" thickBot="1" x14ac:dyDescent="0.3">
      <c r="A7" s="2">
        <v>7</v>
      </c>
      <c r="B7" s="2">
        <v>43</v>
      </c>
    </row>
    <row r="8" spans="1:6" ht="15.75" thickBot="1" x14ac:dyDescent="0.3">
      <c r="A8" s="2">
        <v>8</v>
      </c>
      <c r="B8" s="2">
        <v>44</v>
      </c>
    </row>
    <row r="9" spans="1:6" ht="15.75" thickBot="1" x14ac:dyDescent="0.3">
      <c r="A9" s="2">
        <v>9</v>
      </c>
      <c r="B9" s="2">
        <v>48</v>
      </c>
    </row>
    <row r="10" spans="1:6" ht="15.75" thickBot="1" x14ac:dyDescent="0.3">
      <c r="A10" s="2">
        <v>10</v>
      </c>
      <c r="B10" s="2">
        <v>50</v>
      </c>
    </row>
    <row r="11" spans="1:6" ht="15.75" thickBot="1" x14ac:dyDescent="0.3">
      <c r="A11" s="2">
        <v>11</v>
      </c>
      <c r="B11" s="2">
        <v>51</v>
      </c>
    </row>
    <row r="12" spans="1:6" ht="15.75" thickBot="1" x14ac:dyDescent="0.3">
      <c r="A12" s="2">
        <v>13</v>
      </c>
      <c r="B12" s="2">
        <v>53</v>
      </c>
    </row>
    <row r="13" spans="1:6" ht="15.75" thickBot="1" x14ac:dyDescent="0.3">
      <c r="A13" s="2">
        <v>14</v>
      </c>
      <c r="B13" s="2">
        <v>57</v>
      </c>
    </row>
    <row r="14" spans="1:6" ht="15.75" thickBot="1" x14ac:dyDescent="0.3">
      <c r="A14" s="2">
        <v>15</v>
      </c>
      <c r="B14" s="2">
        <v>58</v>
      </c>
    </row>
    <row r="15" spans="1:6" ht="15.75" thickBot="1" x14ac:dyDescent="0.3">
      <c r="A15" s="2">
        <v>17</v>
      </c>
      <c r="B15">
        <v>61</v>
      </c>
    </row>
    <row r="16" spans="1:6" x14ac:dyDescent="0.25">
      <c r="E16">
        <f>SUM(E6:E15)</f>
        <v>0</v>
      </c>
      <c r="F16">
        <f>SUM(F6:F15)</f>
        <v>0</v>
      </c>
    </row>
    <row r="20" spans="1:4" x14ac:dyDescent="0.25">
      <c r="A20" t="s">
        <v>5</v>
      </c>
    </row>
    <row r="21" spans="1:4" x14ac:dyDescent="0.25">
      <c r="A21" t="s">
        <v>0</v>
      </c>
      <c r="B21" t="s">
        <v>6</v>
      </c>
      <c r="C21" t="s">
        <v>1</v>
      </c>
      <c r="D21" t="s">
        <v>7</v>
      </c>
    </row>
    <row r="22" spans="1:4" x14ac:dyDescent="0.25">
      <c r="A22">
        <v>7</v>
      </c>
    </row>
    <row r="23" spans="1:4" x14ac:dyDescent="0.25">
      <c r="A23">
        <v>9</v>
      </c>
    </row>
    <row r="24" spans="1:4" x14ac:dyDescent="0.25">
      <c r="A24">
        <v>11</v>
      </c>
    </row>
    <row r="25" spans="1:4" x14ac:dyDescent="0.25">
      <c r="A25">
        <v>12</v>
      </c>
    </row>
    <row r="26" spans="1:4" x14ac:dyDescent="0.25">
      <c r="A26">
        <v>11</v>
      </c>
    </row>
    <row r="27" spans="1:4" x14ac:dyDescent="0.25">
      <c r="A27">
        <v>12</v>
      </c>
    </row>
    <row r="28" spans="1:4" x14ac:dyDescent="0.25">
      <c r="A28">
        <v>13</v>
      </c>
    </row>
    <row r="29" spans="1:4" x14ac:dyDescent="0.25">
      <c r="A29">
        <v>13</v>
      </c>
    </row>
    <row r="30" spans="1:4" x14ac:dyDescent="0.25">
      <c r="A30">
        <v>14</v>
      </c>
    </row>
    <row r="31" spans="1:4" x14ac:dyDescent="0.25">
      <c r="A31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CB6DB-17C4-4369-B531-3A0829E6BFB2}">
  <dimension ref="A5:F31"/>
  <sheetViews>
    <sheetView topLeftCell="A3" zoomScale="115" workbookViewId="0">
      <selection activeCell="B15" sqref="B15"/>
    </sheetView>
  </sheetViews>
  <sheetFormatPr defaultRowHeight="15" x14ac:dyDescent="0.25"/>
  <sheetData>
    <row r="5" spans="1:6" ht="15.75" thickBot="1" x14ac:dyDescent="0.3">
      <c r="A5" t="s">
        <v>0</v>
      </c>
      <c r="B5" t="s">
        <v>1</v>
      </c>
      <c r="C5" t="s">
        <v>8</v>
      </c>
      <c r="D5" t="s">
        <v>9</v>
      </c>
      <c r="E5" t="s">
        <v>2</v>
      </c>
      <c r="F5" t="s">
        <v>3</v>
      </c>
    </row>
    <row r="6" spans="1:6" ht="15.75" thickBot="1" x14ac:dyDescent="0.3">
      <c r="A6" s="1">
        <v>6</v>
      </c>
      <c r="B6" s="1">
        <v>42</v>
      </c>
    </row>
    <row r="7" spans="1:6" ht="15.75" thickBot="1" x14ac:dyDescent="0.3">
      <c r="A7" s="2">
        <v>7</v>
      </c>
      <c r="B7" s="2">
        <v>43</v>
      </c>
    </row>
    <row r="8" spans="1:6" ht="15.75" thickBot="1" x14ac:dyDescent="0.3">
      <c r="A8" s="2">
        <v>8</v>
      </c>
      <c r="B8" s="2">
        <v>44</v>
      </c>
    </row>
    <row r="9" spans="1:6" ht="15.75" thickBot="1" x14ac:dyDescent="0.3">
      <c r="A9" s="2">
        <v>9</v>
      </c>
      <c r="B9" s="2">
        <v>48</v>
      </c>
    </row>
    <row r="10" spans="1:6" ht="15.75" thickBot="1" x14ac:dyDescent="0.3">
      <c r="A10" s="2">
        <v>10</v>
      </c>
      <c r="B10" s="2">
        <v>50</v>
      </c>
    </row>
    <row r="11" spans="1:6" ht="15.75" thickBot="1" x14ac:dyDescent="0.3">
      <c r="A11" s="2">
        <v>11</v>
      </c>
      <c r="B11" s="2">
        <v>51</v>
      </c>
    </row>
    <row r="12" spans="1:6" ht="15.75" thickBot="1" x14ac:dyDescent="0.3">
      <c r="A12" s="2">
        <v>13</v>
      </c>
      <c r="B12" s="2">
        <v>53</v>
      </c>
    </row>
    <row r="13" spans="1:6" ht="15.75" thickBot="1" x14ac:dyDescent="0.3">
      <c r="A13" s="2">
        <v>14</v>
      </c>
      <c r="B13" s="2">
        <v>57</v>
      </c>
    </row>
    <row r="14" spans="1:6" ht="15.75" thickBot="1" x14ac:dyDescent="0.3">
      <c r="A14" s="2">
        <v>15</v>
      </c>
      <c r="B14" s="4">
        <v>58</v>
      </c>
    </row>
    <row r="15" spans="1:6" ht="15.75" thickBot="1" x14ac:dyDescent="0.3">
      <c r="A15" s="3">
        <v>17</v>
      </c>
      <c r="B15" s="5">
        <v>61</v>
      </c>
    </row>
    <row r="16" spans="1:6" x14ac:dyDescent="0.25">
      <c r="E16">
        <f>SUM(E6:E15)</f>
        <v>0</v>
      </c>
      <c r="F16">
        <f>SUM(F6:F15)</f>
        <v>0</v>
      </c>
    </row>
    <row r="20" spans="1:4" x14ac:dyDescent="0.25">
      <c r="A20" t="s">
        <v>5</v>
      </c>
    </row>
    <row r="21" spans="1:4" x14ac:dyDescent="0.25">
      <c r="A21" t="s">
        <v>0</v>
      </c>
      <c r="B21" t="s">
        <v>6</v>
      </c>
      <c r="C21" t="s">
        <v>1</v>
      </c>
      <c r="D21" t="s">
        <v>7</v>
      </c>
    </row>
    <row r="22" spans="1:4" x14ac:dyDescent="0.25">
      <c r="A22">
        <v>7</v>
      </c>
    </row>
    <row r="23" spans="1:4" x14ac:dyDescent="0.25">
      <c r="A23">
        <v>9</v>
      </c>
    </row>
    <row r="24" spans="1:4" x14ac:dyDescent="0.25">
      <c r="A24">
        <v>11</v>
      </c>
    </row>
    <row r="25" spans="1:4" x14ac:dyDescent="0.25">
      <c r="A25">
        <v>12</v>
      </c>
    </row>
    <row r="26" spans="1:4" x14ac:dyDescent="0.25">
      <c r="A26">
        <v>11</v>
      </c>
    </row>
    <row r="27" spans="1:4" x14ac:dyDescent="0.25">
      <c r="A27">
        <v>12</v>
      </c>
    </row>
    <row r="28" spans="1:4" x14ac:dyDescent="0.25">
      <c r="A28">
        <v>13</v>
      </c>
    </row>
    <row r="29" spans="1:4" x14ac:dyDescent="0.25">
      <c r="A29">
        <v>13</v>
      </c>
    </row>
    <row r="30" spans="1:4" x14ac:dyDescent="0.25">
      <c r="A30">
        <v>14</v>
      </c>
    </row>
    <row r="31" spans="1:4" x14ac:dyDescent="0.25">
      <c r="A31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B6F0D-BC84-4BF2-BD4E-D9FB3C76B59C}">
  <dimension ref="A5:F31"/>
  <sheetViews>
    <sheetView zoomScale="94" workbookViewId="0">
      <selection activeCell="G19" sqref="G19"/>
    </sheetView>
  </sheetViews>
  <sheetFormatPr defaultRowHeight="15" x14ac:dyDescent="0.25"/>
  <sheetData>
    <row r="5" spans="1:6" ht="15.75" thickBot="1" x14ac:dyDescent="0.3">
      <c r="A5" t="s">
        <v>0</v>
      </c>
      <c r="B5" t="s">
        <v>1</v>
      </c>
      <c r="C5" t="s">
        <v>8</v>
      </c>
      <c r="D5" t="s">
        <v>9</v>
      </c>
      <c r="E5" t="s">
        <v>2</v>
      </c>
      <c r="F5" t="s">
        <v>3</v>
      </c>
    </row>
    <row r="6" spans="1:6" ht="15.75" thickBot="1" x14ac:dyDescent="0.3">
      <c r="A6" s="1">
        <v>5</v>
      </c>
      <c r="B6" s="1">
        <v>42</v>
      </c>
    </row>
    <row r="7" spans="1:6" ht="15.75" thickBot="1" x14ac:dyDescent="0.3">
      <c r="A7" s="2">
        <v>7</v>
      </c>
      <c r="B7" s="2">
        <v>43</v>
      </c>
    </row>
    <row r="8" spans="1:6" ht="15.75" thickBot="1" x14ac:dyDescent="0.3">
      <c r="A8" s="2">
        <v>8</v>
      </c>
      <c r="B8" s="2">
        <v>44</v>
      </c>
    </row>
    <row r="9" spans="1:6" ht="15.75" thickBot="1" x14ac:dyDescent="0.3">
      <c r="A9" s="2">
        <v>9</v>
      </c>
      <c r="B9" s="2">
        <v>48</v>
      </c>
    </row>
    <row r="10" spans="1:6" ht="15.75" thickBot="1" x14ac:dyDescent="0.3">
      <c r="A10" s="2">
        <v>10</v>
      </c>
      <c r="B10" s="2">
        <v>50</v>
      </c>
    </row>
    <row r="11" spans="1:6" ht="15.75" thickBot="1" x14ac:dyDescent="0.3">
      <c r="A11" s="2">
        <v>11</v>
      </c>
      <c r="B11" s="2">
        <v>51</v>
      </c>
    </row>
    <row r="12" spans="1:6" ht="15.75" thickBot="1" x14ac:dyDescent="0.3">
      <c r="A12" s="2">
        <v>13</v>
      </c>
      <c r="B12" s="2">
        <v>53</v>
      </c>
    </row>
    <row r="13" spans="1:6" ht="15.75" thickBot="1" x14ac:dyDescent="0.3">
      <c r="A13" s="2">
        <v>14</v>
      </c>
      <c r="B13" s="2">
        <v>57</v>
      </c>
    </row>
    <row r="14" spans="1:6" ht="15.75" thickBot="1" x14ac:dyDescent="0.3">
      <c r="A14" s="2">
        <v>15</v>
      </c>
      <c r="B14" s="2">
        <v>58</v>
      </c>
    </row>
    <row r="15" spans="1:6" ht="15.75" thickBot="1" x14ac:dyDescent="0.3">
      <c r="A15" s="2">
        <v>18</v>
      </c>
      <c r="B15">
        <v>61</v>
      </c>
    </row>
    <row r="16" spans="1:6" x14ac:dyDescent="0.25">
      <c r="E16">
        <f>SUM(E6:E15)</f>
        <v>0</v>
      </c>
      <c r="F16">
        <f>SUM(F6:F15)</f>
        <v>0</v>
      </c>
    </row>
    <row r="20" spans="1:4" x14ac:dyDescent="0.25">
      <c r="A20" t="s">
        <v>5</v>
      </c>
    </row>
    <row r="21" spans="1:4" x14ac:dyDescent="0.25">
      <c r="A21" t="s">
        <v>0</v>
      </c>
      <c r="B21" t="s">
        <v>6</v>
      </c>
      <c r="C21" t="s">
        <v>1</v>
      </c>
      <c r="D21" t="s">
        <v>7</v>
      </c>
    </row>
    <row r="22" spans="1:4" x14ac:dyDescent="0.25">
      <c r="A22">
        <v>7</v>
      </c>
    </row>
    <row r="23" spans="1:4" x14ac:dyDescent="0.25">
      <c r="A23">
        <v>9</v>
      </c>
    </row>
    <row r="24" spans="1:4" x14ac:dyDescent="0.25">
      <c r="A24">
        <v>11</v>
      </c>
    </row>
    <row r="25" spans="1:4" x14ac:dyDescent="0.25">
      <c r="A25">
        <v>12</v>
      </c>
    </row>
    <row r="26" spans="1:4" x14ac:dyDescent="0.25">
      <c r="A26">
        <v>11</v>
      </c>
    </row>
    <row r="27" spans="1:4" x14ac:dyDescent="0.25">
      <c r="A27">
        <v>12</v>
      </c>
    </row>
    <row r="28" spans="1:4" x14ac:dyDescent="0.25">
      <c r="A28">
        <v>13</v>
      </c>
    </row>
    <row r="29" spans="1:4" x14ac:dyDescent="0.25">
      <c r="A29">
        <v>13</v>
      </c>
    </row>
    <row r="30" spans="1:4" x14ac:dyDescent="0.25">
      <c r="A30">
        <v>14</v>
      </c>
    </row>
    <row r="31" spans="1:4" x14ac:dyDescent="0.25">
      <c r="A3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NPM 5</vt:lpstr>
      <vt:lpstr>NPM 6</vt:lpstr>
      <vt:lpstr>NPM 7</vt:lpstr>
      <vt:lpstr>NPM 8</vt:lpstr>
      <vt:lpstr>NPM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K</dc:creator>
  <cp:lastModifiedBy>Adrian Syah</cp:lastModifiedBy>
  <dcterms:created xsi:type="dcterms:W3CDTF">2023-02-06T03:38:21Z</dcterms:created>
  <dcterms:modified xsi:type="dcterms:W3CDTF">2025-02-06T02:33:29Z</dcterms:modified>
</cp:coreProperties>
</file>